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silio\IMGS 890 Research\Gram_calc_examples\LANDSAT\"/>
    </mc:Choice>
  </mc:AlternateContent>
  <xr:revisionPtr revIDLastSave="0" documentId="13_ncr:1_{71C915E4-9554-49FA-8308-F9A86F41F507}" xr6:coauthVersionLast="47" xr6:coauthVersionMax="47" xr10:uidLastSave="{00000000-0000-0000-0000-000000000000}"/>
  <bookViews>
    <workbookView xWindow="19575" yWindow="3435" windowWidth="28800" windowHeight="15330" xr2:uid="{58DE25B9-BED4-45CE-91AE-FA830BBE589F}"/>
  </bookViews>
  <sheets>
    <sheet name="endmembers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14" i="1" l="1"/>
  <c r="W6" i="1"/>
  <c r="X7" i="1"/>
  <c r="Y8" i="1"/>
  <c r="Z9" i="1"/>
  <c r="AA10" i="1"/>
  <c r="Z10" i="1"/>
  <c r="Y10" i="1"/>
  <c r="Y9" i="1"/>
  <c r="X10" i="1"/>
  <c r="X9" i="1"/>
  <c r="X8" i="1"/>
  <c r="W10" i="1"/>
  <c r="W9" i="1"/>
  <c r="W8" i="1"/>
  <c r="W7" i="1"/>
  <c r="V8" i="1"/>
  <c r="V10" i="1"/>
  <c r="V9" i="1"/>
  <c r="V7" i="1"/>
  <c r="V6" i="1"/>
  <c r="V4" i="1"/>
  <c r="V5" i="1"/>
  <c r="U10" i="1"/>
  <c r="W4" i="1"/>
  <c r="X4" i="1"/>
  <c r="Y4" i="1"/>
  <c r="Z4" i="1"/>
  <c r="AA4" i="1"/>
  <c r="U9" i="1"/>
  <c r="U8" i="1"/>
  <c r="U7" i="1"/>
  <c r="U6" i="1"/>
  <c r="U5" i="1"/>
  <c r="U4" i="1"/>
  <c r="G33" i="1"/>
  <c r="F33" i="1"/>
  <c r="E33" i="1"/>
  <c r="D33" i="1"/>
  <c r="C33" i="1"/>
  <c r="B33" i="1"/>
  <c r="C15" i="1"/>
  <c r="D15" i="1"/>
  <c r="E15" i="1"/>
  <c r="F15" i="1"/>
  <c r="H15" i="1"/>
  <c r="C16" i="1"/>
  <c r="D16" i="1"/>
  <c r="E16" i="1"/>
  <c r="F16" i="1"/>
  <c r="G16" i="1"/>
  <c r="F27" i="1" s="1"/>
  <c r="H16" i="1"/>
  <c r="C17" i="1"/>
  <c r="D17" i="1"/>
  <c r="E17" i="1"/>
  <c r="F17" i="1"/>
  <c r="G17" i="1"/>
  <c r="E28" i="1" s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C31" i="1" s="1"/>
  <c r="H20" i="1"/>
  <c r="C21" i="1"/>
  <c r="D21" i="1"/>
  <c r="E21" i="1"/>
  <c r="F21" i="1"/>
  <c r="G21" i="1"/>
  <c r="C32" i="1" s="1"/>
  <c r="H21" i="1"/>
  <c r="B16" i="1"/>
  <c r="B27" i="1" s="1"/>
  <c r="B17" i="1"/>
  <c r="B18" i="1"/>
  <c r="B19" i="1"/>
  <c r="B20" i="1"/>
  <c r="B21" i="1"/>
  <c r="B32" i="1" s="1"/>
  <c r="B15" i="1"/>
  <c r="E31" i="1" l="1"/>
  <c r="F31" i="1"/>
  <c r="D31" i="1"/>
  <c r="G31" i="1"/>
  <c r="C29" i="1"/>
  <c r="G32" i="1"/>
  <c r="E32" i="1"/>
  <c r="G30" i="1"/>
  <c r="F28" i="1"/>
  <c r="G27" i="1"/>
  <c r="G28" i="1"/>
  <c r="B29" i="1"/>
  <c r="F29" i="1"/>
  <c r="D32" i="1"/>
  <c r="D29" i="1"/>
  <c r="E29" i="1"/>
  <c r="C27" i="1"/>
  <c r="D27" i="1"/>
  <c r="B30" i="1"/>
  <c r="F32" i="1"/>
  <c r="G29" i="1"/>
  <c r="E27" i="1"/>
  <c r="C30" i="1"/>
  <c r="E30" i="1"/>
  <c r="D30" i="1"/>
  <c r="B28" i="1"/>
  <c r="F30" i="1"/>
  <c r="C28" i="1"/>
  <c r="D28" i="1"/>
  <c r="B31" i="1"/>
</calcChain>
</file>

<file path=xl/sharedStrings.xml><?xml version="1.0" encoding="utf-8"?>
<sst xmlns="http://schemas.openxmlformats.org/spreadsheetml/2006/main" count="21" uniqueCount="11">
  <si>
    <t>Endmember Index</t>
  </si>
  <si>
    <t>Endmembers</t>
  </si>
  <si>
    <t>Spectral Bands</t>
  </si>
  <si>
    <t>V</t>
  </si>
  <si>
    <t>V'</t>
  </si>
  <si>
    <t>G</t>
  </si>
  <si>
    <t>G'</t>
  </si>
  <si>
    <t>k</t>
  </si>
  <si>
    <t>matmul</t>
  </si>
  <si>
    <t>manual</t>
  </si>
  <si>
    <t>V_max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</si>
</sst>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00000000000"/>
    <numFmt numFmtId="166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10" xfId="0" applyBorder="1"/>
    <xf numFmtId="164" fontId="0" fillId="0" borderId="10" xfId="0" applyNumberFormat="1" applyBorder="1"/>
    <xf numFmtId="0" fontId="0" fillId="0" borderId="0" xfId="0" applyBorder="1" applyAlignment="1">
      <alignment horizontal="right" vertical="center" textRotation="90" wrapText="1"/>
    </xf>
    <xf numFmtId="164" fontId="0" fillId="0" borderId="0" xfId="0" applyNumberFormat="1" applyBorder="1"/>
    <xf numFmtId="0" fontId="0" fillId="0" borderId="10" xfId="0" applyBorder="1" applyAlignment="1">
      <alignment wrapText="1"/>
    </xf>
    <xf numFmtId="1" fontId="0" fillId="0" borderId="10" xfId="0" applyNumberFormat="1" applyBorder="1"/>
    <xf numFmtId="165" fontId="0" fillId="0" borderId="0" xfId="0" applyNumberFormat="1"/>
    <xf numFmtId="166" fontId="0" fillId="0" borderId="0" xfId="0" applyNumberFormat="1"/>
    <xf numFmtId="1" fontId="0" fillId="0" borderId="0" xfId="0" applyNumberFormat="1" applyFill="1" applyBorder="1"/>
    <xf numFmtId="164" fontId="0" fillId="0" borderId="0" xfId="0" applyNumberFormat="1"/>
    <xf numFmtId="0" fontId="0" fillId="0" borderId="10" xfId="0" applyBorder="1" applyAlignment="1">
      <alignment horizontal="right" vertical="center" textRotation="90" wrapText="1"/>
    </xf>
    <xf numFmtId="0" fontId="0" fillId="0" borderId="10" xfId="0" applyBorder="1" applyAlignment="1">
      <alignment horizontal="center"/>
    </xf>
    <xf numFmtId="2" fontId="0" fillId="0" borderId="0" xfId="0" applyNumberFormat="1"/>
    <xf numFmtId="1" fontId="0" fillId="0" borderId="0" xfId="0" applyNumberFormat="1"/>
    <xf numFmtId="1" fontId="0" fillId="0" borderId="11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CD6F1-8179-41EA-A843-8AC7F6D41AD3}">
  <dimension ref="A1:AA34"/>
  <sheetViews>
    <sheetView tabSelected="1" workbookViewId="0">
      <selection activeCell="V13" sqref="V13"/>
    </sheetView>
  </sheetViews>
  <sheetFormatPr defaultRowHeight="15" x14ac:dyDescent="0.25"/>
  <cols>
    <col min="1" max="1" width="12.28515625" customWidth="1"/>
    <col min="2" max="8" width="6.28515625" bestFit="1" customWidth="1"/>
    <col min="19" max="19" width="19.85546875" bestFit="1" customWidth="1"/>
    <col min="21" max="21" width="10.5703125" customWidth="1"/>
  </cols>
  <sheetData>
    <row r="1" spans="1:27" x14ac:dyDescent="0.25">
      <c r="B1" t="s">
        <v>3</v>
      </c>
      <c r="J1" t="s">
        <v>5</v>
      </c>
    </row>
    <row r="2" spans="1:27" x14ac:dyDescent="0.25">
      <c r="A2" s="1"/>
      <c r="B2" s="12" t="s">
        <v>1</v>
      </c>
      <c r="C2" s="12"/>
      <c r="D2" s="12"/>
      <c r="E2" s="12"/>
      <c r="F2" s="12"/>
      <c r="G2" s="12"/>
      <c r="H2" s="12"/>
      <c r="J2" t="s">
        <v>8</v>
      </c>
      <c r="U2" t="s">
        <v>9</v>
      </c>
    </row>
    <row r="3" spans="1:27" ht="30" x14ac:dyDescent="0.25">
      <c r="A3" s="5" t="s">
        <v>0</v>
      </c>
      <c r="B3" s="1">
        <v>1</v>
      </c>
      <c r="C3" s="1">
        <v>2</v>
      </c>
      <c r="D3" s="1">
        <v>3</v>
      </c>
      <c r="E3" s="1">
        <v>4</v>
      </c>
      <c r="F3" s="1">
        <v>5</v>
      </c>
      <c r="G3" s="1">
        <v>6</v>
      </c>
      <c r="H3" s="1">
        <v>7</v>
      </c>
      <c r="J3" s="1" t="s">
        <v>7</v>
      </c>
      <c r="K3" s="1">
        <v>1</v>
      </c>
      <c r="L3" s="1">
        <v>2</v>
      </c>
      <c r="M3" s="1">
        <v>3</v>
      </c>
      <c r="N3" s="1">
        <v>4</v>
      </c>
      <c r="O3" s="1">
        <v>5</v>
      </c>
      <c r="P3" s="1">
        <v>6</v>
      </c>
      <c r="Q3" s="1">
        <v>7</v>
      </c>
      <c r="U3">
        <v>1</v>
      </c>
      <c r="V3">
        <v>2</v>
      </c>
      <c r="W3">
        <v>3</v>
      </c>
      <c r="X3">
        <v>4</v>
      </c>
      <c r="Y3">
        <v>5</v>
      </c>
      <c r="Z3">
        <v>6</v>
      </c>
      <c r="AA3">
        <v>7</v>
      </c>
    </row>
    <row r="4" spans="1:27" x14ac:dyDescent="0.25">
      <c r="A4" s="11" t="s">
        <v>2</v>
      </c>
      <c r="B4" s="2">
        <v>6.01500123739242E-2</v>
      </c>
      <c r="C4" s="2">
        <v>3.6650002002715999E-3</v>
      </c>
      <c r="D4" s="2">
        <v>9.5707491040229797E-2</v>
      </c>
      <c r="E4" s="2">
        <v>5.7977512478828402E-2</v>
      </c>
      <c r="F4" s="2">
        <v>1.5874996781349099E-2</v>
      </c>
      <c r="G4" s="2">
        <v>6.4467504620551994E-2</v>
      </c>
      <c r="H4" s="2">
        <v>0</v>
      </c>
      <c r="J4" s="1">
        <v>1</v>
      </c>
      <c r="K4" s="2">
        <v>0.21866572296918499</v>
      </c>
      <c r="L4" s="2">
        <v>2.3123352794876199E-2</v>
      </c>
      <c r="M4" s="2">
        <v>0.15416127484804701</v>
      </c>
      <c r="N4" s="2">
        <v>0.182913364099552</v>
      </c>
      <c r="O4" s="2">
        <v>7.6645364817669898E-2</v>
      </c>
      <c r="P4" s="2">
        <v>0.11105727040581399</v>
      </c>
      <c r="Q4" s="2">
        <v>4.7789344098563703E-2</v>
      </c>
      <c r="S4" s="7"/>
      <c r="T4" s="9">
        <v>1</v>
      </c>
      <c r="U4" s="10">
        <f>SUMPRODUCT($B4:$B10,B4:B10)</f>
        <v>0.21866572296918466</v>
      </c>
      <c r="V4" s="10">
        <f>SUMPRODUCT($B4:$B10,C4:C10)</f>
        <v>2.3123352794876106E-2</v>
      </c>
      <c r="W4" s="10">
        <f t="shared" ref="W4:AA4" si="0">SUMPRODUCT($B4:$B10,D4:D10)</f>
        <v>0.15416127484804693</v>
      </c>
      <c r="X4" s="10">
        <f t="shared" si="0"/>
        <v>0.18291336409955133</v>
      </c>
      <c r="Y4" s="10">
        <f t="shared" si="0"/>
        <v>7.6645364817669676E-2</v>
      </c>
      <c r="Z4" s="10">
        <f t="shared" si="0"/>
        <v>0.11105727040581363</v>
      </c>
      <c r="AA4" s="10">
        <f t="shared" si="0"/>
        <v>4.7789344098563544E-2</v>
      </c>
    </row>
    <row r="5" spans="1:27" x14ac:dyDescent="0.25">
      <c r="A5" s="11"/>
      <c r="B5" s="2">
        <v>7.8354999423026997E-2</v>
      </c>
      <c r="C5" s="2">
        <v>8.1750005483627302E-3</v>
      </c>
      <c r="D5" s="2">
        <v>0.11550749838352201</v>
      </c>
      <c r="E5" s="2">
        <v>7.5247511267662007E-2</v>
      </c>
      <c r="F5" s="2">
        <v>3.3089995384216302E-2</v>
      </c>
      <c r="G5" s="2">
        <v>6.9802507758140495E-2</v>
      </c>
      <c r="H5" s="2">
        <v>0</v>
      </c>
      <c r="J5" s="1">
        <v>2</v>
      </c>
      <c r="K5" s="2">
        <v>2.3123352794876199E-2</v>
      </c>
      <c r="L5" s="2">
        <v>2.52603711538679E-3</v>
      </c>
      <c r="M5" s="2">
        <v>1.6080038645909199E-2</v>
      </c>
      <c r="N5" s="2">
        <v>1.88303600591379E-2</v>
      </c>
      <c r="O5" s="2">
        <v>8.0771111194939404E-3</v>
      </c>
      <c r="P5" s="2">
        <v>1.14671439573208E-2</v>
      </c>
      <c r="Q5" s="2">
        <v>5.1262782342902302E-3</v>
      </c>
      <c r="S5" s="7"/>
      <c r="T5" s="9">
        <v>2</v>
      </c>
      <c r="U5" s="10">
        <f>SUMPRODUCT($B4:$B10,C4:C10)</f>
        <v>2.3123352794876106E-2</v>
      </c>
      <c r="V5" s="10">
        <f>SUMPRODUCT($C4:$C10,C4:C10)</f>
        <v>2.526037115386784E-3</v>
      </c>
      <c r="W5" s="10"/>
      <c r="X5" s="10"/>
      <c r="Y5" s="10"/>
      <c r="Z5" s="10"/>
      <c r="AA5" s="10"/>
    </row>
    <row r="6" spans="1:27" x14ac:dyDescent="0.25">
      <c r="A6" s="11"/>
      <c r="B6" s="2">
        <v>0.11292250454425801</v>
      </c>
      <c r="C6" s="2">
        <v>1.5269994735717701E-2</v>
      </c>
      <c r="D6" s="2">
        <v>0.14831499755382499</v>
      </c>
      <c r="E6" s="2">
        <v>0.110144987702369</v>
      </c>
      <c r="F6" s="2">
        <v>7.1039989590644795E-2</v>
      </c>
      <c r="G6" s="2">
        <v>7.1672484278678894E-2</v>
      </c>
      <c r="H6" s="2">
        <v>2.6160001754760701E-2</v>
      </c>
      <c r="J6" s="1">
        <v>3</v>
      </c>
      <c r="K6" s="2">
        <v>0.15416127484804701</v>
      </c>
      <c r="L6" s="2">
        <v>1.6080038645909199E-2</v>
      </c>
      <c r="M6" s="2">
        <v>0.12889409666646301</v>
      </c>
      <c r="N6" s="2">
        <v>0.13550444277260701</v>
      </c>
      <c r="O6" s="2">
        <v>6.0156710241261402E-2</v>
      </c>
      <c r="P6" s="2">
        <v>8.6295824606633598E-2</v>
      </c>
      <c r="Q6" s="2">
        <v>3.1977337387533798E-2</v>
      </c>
      <c r="S6" s="7"/>
      <c r="T6" s="9">
        <v>3</v>
      </c>
      <c r="U6" s="10">
        <f>SUMPRODUCT($B4:$B10,D4:D10)</f>
        <v>0.15416127484804693</v>
      </c>
      <c r="V6" s="10">
        <f>SUMPRODUCT($D4:$D10,C4:C10)</f>
        <v>1.6080038645909133E-2</v>
      </c>
      <c r="W6" s="10">
        <f>SUMPRODUCT($D4:$D10,D4:D10)</f>
        <v>0.1288940966664629</v>
      </c>
      <c r="X6" s="10"/>
      <c r="Y6" s="10"/>
      <c r="Z6" s="10"/>
      <c r="AA6" s="10"/>
    </row>
    <row r="7" spans="1:27" x14ac:dyDescent="0.25">
      <c r="A7" s="11"/>
      <c r="B7" s="2">
        <v>0.133355006575584</v>
      </c>
      <c r="C7" s="2">
        <v>1.4472499489784201E-2</v>
      </c>
      <c r="D7" s="2">
        <v>0.15387000143527901</v>
      </c>
      <c r="E7" s="2">
        <v>0.118312492966651</v>
      </c>
      <c r="F7" s="2">
        <v>7.7034994959831196E-2</v>
      </c>
      <c r="G7" s="2">
        <v>8.3250001072883606E-2</v>
      </c>
      <c r="H7" s="2">
        <v>3.2704994082450797E-2</v>
      </c>
      <c r="J7" s="1">
        <v>4</v>
      </c>
      <c r="K7" s="2">
        <v>0.182913364099552</v>
      </c>
      <c r="L7" s="2">
        <v>1.88303600591379E-2</v>
      </c>
      <c r="M7" s="2">
        <v>0.13550444277260701</v>
      </c>
      <c r="N7" s="2">
        <v>0.15905396670240601</v>
      </c>
      <c r="O7" s="2">
        <v>6.6639734493828096E-2</v>
      </c>
      <c r="P7" s="2">
        <v>9.6116064389765304E-2</v>
      </c>
      <c r="Q7" s="2">
        <v>3.9575053203075999E-2</v>
      </c>
      <c r="S7" s="7"/>
      <c r="T7" s="9">
        <v>4</v>
      </c>
      <c r="U7" s="10">
        <f>SUMPRODUCT($B4:$B10,E4:E10)</f>
        <v>0.18291336409955133</v>
      </c>
      <c r="V7" s="10">
        <f>SUMPRODUCT($C4:$C10,E4:E10)</f>
        <v>1.8830360059137879E-2</v>
      </c>
      <c r="W7" s="10">
        <f>SUMPRODUCT($D4:$D10,E4:E10)</f>
        <v>0.13550444277260712</v>
      </c>
      <c r="X7" s="10">
        <f>SUMPRODUCT($E4:$E10,E4:E10)</f>
        <v>0.15905396670240607</v>
      </c>
      <c r="Y7" s="10"/>
      <c r="Z7" s="10"/>
      <c r="AA7" s="10"/>
    </row>
    <row r="8" spans="1:27" x14ac:dyDescent="0.25">
      <c r="A8" s="11"/>
      <c r="B8" s="2">
        <v>0.26705998182296697</v>
      </c>
      <c r="C8" s="2">
        <v>2.2227495908737099E-2</v>
      </c>
      <c r="D8" s="2">
        <v>0.18986751139163899</v>
      </c>
      <c r="E8" s="2">
        <v>0.27503502368927002</v>
      </c>
      <c r="F8" s="2">
        <v>9.9117502570152199E-2</v>
      </c>
      <c r="G8" s="2">
        <v>0.14556498825549999</v>
      </c>
      <c r="H8" s="2">
        <v>5.9297487139701802E-2</v>
      </c>
      <c r="J8" s="1">
        <v>5</v>
      </c>
      <c r="K8" s="2">
        <v>7.6645364817669898E-2</v>
      </c>
      <c r="L8" s="2">
        <v>8.0771111194939404E-3</v>
      </c>
      <c r="M8" s="2">
        <v>6.0156710241261402E-2</v>
      </c>
      <c r="N8" s="2">
        <v>6.6639734493828096E-2</v>
      </c>
      <c r="O8" s="2">
        <v>2.96580593970374E-2</v>
      </c>
      <c r="P8" s="2">
        <v>4.0852060744508999E-2</v>
      </c>
      <c r="Q8" s="2">
        <v>1.67588652877683E-2</v>
      </c>
      <c r="S8" s="7"/>
      <c r="T8" s="9">
        <v>5</v>
      </c>
      <c r="U8" s="10">
        <f>SUMPRODUCT($B4:$B10,F4:F10)</f>
        <v>7.6645364817669676E-2</v>
      </c>
      <c r="V8" s="10">
        <f>SUMPRODUCT($C4:$C10,F4:F10)</f>
        <v>8.0771111194939162E-3</v>
      </c>
      <c r="W8" s="10">
        <f>SUMPRODUCT($D4:$D10,F4:F10)</f>
        <v>6.0156710241261187E-2</v>
      </c>
      <c r="X8" s="10">
        <f>SUMPRODUCT($E4:$E10,F4:F10)</f>
        <v>6.6639734493827874E-2</v>
      </c>
      <c r="Y8" s="10">
        <f>SUMPRODUCT($F4:$F10,F4:F10)</f>
        <v>2.9658059397037431E-2</v>
      </c>
      <c r="Z8" s="10"/>
      <c r="AA8" s="10"/>
    </row>
    <row r="9" spans="1:27" x14ac:dyDescent="0.25">
      <c r="A9" s="11"/>
      <c r="B9" s="2">
        <v>0.26329249143600397</v>
      </c>
      <c r="C9" s="2">
        <v>2.9377505183219899E-2</v>
      </c>
      <c r="D9" s="2">
        <v>0.12813000380992801</v>
      </c>
      <c r="E9" s="2">
        <v>0.17900501191616</v>
      </c>
      <c r="F9" s="2">
        <v>7.1287497878074604E-2</v>
      </c>
      <c r="G9" s="2">
        <v>0.115287497639656</v>
      </c>
      <c r="H9" s="2">
        <v>5.6850001215934698E-2</v>
      </c>
      <c r="J9" s="1">
        <v>6</v>
      </c>
      <c r="K9" s="2">
        <v>0.11105727040581399</v>
      </c>
      <c r="L9" s="2">
        <v>1.14671439573208E-2</v>
      </c>
      <c r="M9" s="2">
        <v>8.6295824606633598E-2</v>
      </c>
      <c r="N9" s="2">
        <v>9.6116064389765304E-2</v>
      </c>
      <c r="O9" s="2">
        <v>4.0852060744508999E-2</v>
      </c>
      <c r="P9" s="2">
        <v>6.0254891272304198E-2</v>
      </c>
      <c r="Q9" s="2">
        <v>2.3188499005566399E-2</v>
      </c>
      <c r="S9" s="7"/>
      <c r="T9" s="9">
        <v>6</v>
      </c>
      <c r="U9" s="10">
        <f>SUMPRODUCT($B4:$B10,G4:G10)</f>
        <v>0.11105727040581363</v>
      </c>
      <c r="V9" s="10">
        <f>SUMPRODUCT($C4:$C10,G4:G10)</f>
        <v>1.1467143957320802E-2</v>
      </c>
      <c r="W9" s="10">
        <f>SUMPRODUCT($D4:$D10,G4:G10)</f>
        <v>8.6295824606633181E-2</v>
      </c>
      <c r="X9" s="10">
        <f>SUMPRODUCT($E4:$E10,G4:G10)</f>
        <v>9.611606438976493E-2</v>
      </c>
      <c r="Y9" s="10">
        <f>SUMPRODUCT($F4:$F10,G4:G10)</f>
        <v>4.0852060744508964E-2</v>
      </c>
      <c r="Z9" s="10">
        <f>SUMPRODUCT($G4:$G10,G4:G10)</f>
        <v>6.0254891272303948E-2</v>
      </c>
      <c r="AA9" s="10"/>
    </row>
    <row r="10" spans="1:27" x14ac:dyDescent="0.25">
      <c r="A10" s="11"/>
      <c r="B10" s="2">
        <v>0.19423998892307201</v>
      </c>
      <c r="C10" s="2">
        <v>2.54174917936325E-2</v>
      </c>
      <c r="D10" s="2">
        <v>9.0839996933937003E-2</v>
      </c>
      <c r="E10" s="2">
        <v>0.127332493662834</v>
      </c>
      <c r="F10" s="2">
        <v>4.9232497811317402E-2</v>
      </c>
      <c r="G10" s="2">
        <v>6.8400010466575595E-2</v>
      </c>
      <c r="H10" s="2">
        <v>4.9782499670982298E-2</v>
      </c>
      <c r="J10" s="1">
        <v>7</v>
      </c>
      <c r="K10" s="2">
        <v>4.7789344098563703E-2</v>
      </c>
      <c r="L10" s="2">
        <v>5.1262782342902302E-3</v>
      </c>
      <c r="M10" s="2">
        <v>3.1977337387533798E-2</v>
      </c>
      <c r="N10" s="2">
        <v>3.9575053203075999E-2</v>
      </c>
      <c r="O10" s="2">
        <v>1.67588652877683E-2</v>
      </c>
      <c r="P10" s="2">
        <v>2.3188499005566399E-2</v>
      </c>
      <c r="Q10" s="2">
        <v>1.0980374222568401E-2</v>
      </c>
      <c r="S10" s="7"/>
      <c r="T10" s="9">
        <v>7</v>
      </c>
      <c r="U10" s="10">
        <f>SUMPRODUCT($B4:$B10,H4:H10)</f>
        <v>4.7789344098563544E-2</v>
      </c>
      <c r="V10" s="10">
        <f>SUMPRODUCT($C4:$C10,H4:H10)</f>
        <v>5.1262782342902232E-3</v>
      </c>
      <c r="W10" s="10">
        <f>SUMPRODUCT($D4:$D10,H4:H10)</f>
        <v>3.1977337387533666E-2</v>
      </c>
      <c r="X10" s="10">
        <f>SUMPRODUCT($E4:$E10,H4:H10)</f>
        <v>3.9575053203075958E-2</v>
      </c>
      <c r="Y10" s="10">
        <f>SUMPRODUCT($F4:$F10,H4:H10)</f>
        <v>1.6758865287768349E-2</v>
      </c>
      <c r="Z10" s="10">
        <f>SUMPRODUCT($G4:$G10,H4:H10)</f>
        <v>2.318849900556633E-2</v>
      </c>
      <c r="AA10" s="10">
        <f>SUMPRODUCT($H4:$H10,H4:H10)</f>
        <v>1.0980374222568454E-2</v>
      </c>
    </row>
    <row r="11" spans="1:27" x14ac:dyDescent="0.25">
      <c r="A11" s="3"/>
      <c r="B11" s="4"/>
      <c r="C11" s="4"/>
      <c r="D11" s="4"/>
      <c r="E11" s="4"/>
      <c r="F11" s="4"/>
      <c r="G11" s="4"/>
      <c r="H11" s="4"/>
    </row>
    <row r="12" spans="1:27" x14ac:dyDescent="0.25">
      <c r="B12" t="s">
        <v>4</v>
      </c>
    </row>
    <row r="13" spans="1:27" x14ac:dyDescent="0.25">
      <c r="A13" s="1"/>
      <c r="B13" s="12" t="s">
        <v>1</v>
      </c>
      <c r="C13" s="12"/>
      <c r="D13" s="12"/>
      <c r="E13" s="12"/>
      <c r="F13" s="12"/>
      <c r="G13" s="12"/>
      <c r="H13" s="12"/>
      <c r="K13" t="s">
        <v>6</v>
      </c>
      <c r="S13" t="s">
        <v>10</v>
      </c>
      <c r="T13" s="9">
        <v>1</v>
      </c>
      <c r="U13" s="8"/>
      <c r="V13" s="8"/>
      <c r="W13" s="8"/>
      <c r="X13" s="8"/>
      <c r="Y13" s="8"/>
      <c r="Z13" s="8"/>
      <c r="AA13" s="8"/>
    </row>
    <row r="14" spans="1:27" x14ac:dyDescent="0.25">
      <c r="A14" s="1" t="s">
        <v>0</v>
      </c>
      <c r="B14" s="1">
        <v>1</v>
      </c>
      <c r="C14" s="1">
        <v>2</v>
      </c>
      <c r="D14" s="1">
        <v>3</v>
      </c>
      <c r="E14" s="1">
        <v>4</v>
      </c>
      <c r="F14" s="1">
        <v>5</v>
      </c>
      <c r="G14" s="1">
        <v>6</v>
      </c>
      <c r="H14" s="1">
        <v>7</v>
      </c>
      <c r="J14" s="1" t="s">
        <v>7</v>
      </c>
      <c r="K14" s="1">
        <v>1</v>
      </c>
      <c r="L14" s="1">
        <v>2</v>
      </c>
      <c r="M14" s="1">
        <v>3</v>
      </c>
      <c r="N14" s="1">
        <v>4</v>
      </c>
      <c r="O14" s="1">
        <v>5</v>
      </c>
      <c r="P14" s="1">
        <v>6</v>
      </c>
      <c r="Q14" s="1">
        <v>7</v>
      </c>
      <c r="S14" s="14">
        <v>1</v>
      </c>
      <c r="T14" s="13">
        <v>1</v>
      </c>
      <c r="V14" s="8">
        <f>SUMPRODUCT(T14:T34,T14:T34)</f>
        <v>21</v>
      </c>
      <c r="W14" s="8"/>
      <c r="X14" s="8"/>
      <c r="Y14" s="8"/>
      <c r="Z14" s="8"/>
      <c r="AA14" s="8"/>
    </row>
    <row r="15" spans="1:27" x14ac:dyDescent="0.25">
      <c r="A15" s="11" t="s">
        <v>2</v>
      </c>
      <c r="B15" s="2">
        <f>$G4-B4</f>
        <v>4.3174922466277937E-3</v>
      </c>
      <c r="C15" s="2">
        <f t="shared" ref="C15:H15" si="1">$G4-C4</f>
        <v>6.0802504420280394E-2</v>
      </c>
      <c r="D15" s="2">
        <f t="shared" si="1"/>
        <v>-3.1239986419677804E-2</v>
      </c>
      <c r="E15" s="2">
        <f t="shared" si="1"/>
        <v>6.4899921417235912E-3</v>
      </c>
      <c r="F15" s="2">
        <f t="shared" si="1"/>
        <v>4.8592507839202895E-2</v>
      </c>
      <c r="G15" s="6">
        <v>0</v>
      </c>
      <c r="H15" s="2">
        <f t="shared" si="1"/>
        <v>6.4467504620551994E-2</v>
      </c>
      <c r="J15" s="1">
        <v>1</v>
      </c>
      <c r="K15" s="2">
        <v>5.6806073429861603E-2</v>
      </c>
      <c r="L15" s="2">
        <v>-3.9146170295954498E-2</v>
      </c>
      <c r="M15" s="2">
        <v>1.7063071107904199E-2</v>
      </c>
      <c r="N15" s="2">
        <v>3.5994920576276797E-2</v>
      </c>
      <c r="O15" s="2">
        <v>-1.5009075060349E-2</v>
      </c>
      <c r="P15" s="6">
        <v>0</v>
      </c>
      <c r="Q15" s="2">
        <v>-2.6201534040512599E-2</v>
      </c>
      <c r="S15" s="15">
        <v>2</v>
      </c>
      <c r="T15" s="13">
        <v>1</v>
      </c>
      <c r="U15" s="8"/>
      <c r="V15" s="8"/>
      <c r="W15" s="8"/>
      <c r="X15" s="8"/>
      <c r="Y15" s="8"/>
      <c r="Z15" s="8"/>
      <c r="AA15" s="8"/>
    </row>
    <row r="16" spans="1:27" x14ac:dyDescent="0.25">
      <c r="A16" s="11"/>
      <c r="B16" s="2">
        <f t="shared" ref="B16:H21" si="2">$G5-B5</f>
        <v>-8.5524916648865024E-3</v>
      </c>
      <c r="C16" s="2">
        <f t="shared" si="2"/>
        <v>6.1627507209777763E-2</v>
      </c>
      <c r="D16" s="2">
        <f t="shared" si="2"/>
        <v>-4.5704990625381511E-2</v>
      </c>
      <c r="E16" s="2">
        <f t="shared" si="2"/>
        <v>-5.4450035095215121E-3</v>
      </c>
      <c r="F16" s="2">
        <f t="shared" si="2"/>
        <v>3.6712512373924193E-2</v>
      </c>
      <c r="G16" s="6">
        <f t="shared" si="2"/>
        <v>0</v>
      </c>
      <c r="H16" s="2">
        <f t="shared" si="2"/>
        <v>6.9802507758140495E-2</v>
      </c>
      <c r="J16" s="1">
        <v>2</v>
      </c>
      <c r="K16" s="2">
        <v>-3.9146170295954498E-2</v>
      </c>
      <c r="L16" s="2">
        <v>3.9846640473049297E-2</v>
      </c>
      <c r="M16" s="2">
        <v>-2.1428038645740999E-2</v>
      </c>
      <c r="N16" s="2">
        <v>-2.8497957015644001E-2</v>
      </c>
      <c r="O16" s="2">
        <v>1.6012797689968199E-2</v>
      </c>
      <c r="P16" s="6">
        <v>0</v>
      </c>
      <c r="Q16" s="2">
        <v>3.07255265437071E-2</v>
      </c>
      <c r="S16" s="15">
        <v>3</v>
      </c>
      <c r="T16" s="13">
        <v>1</v>
      </c>
      <c r="U16" s="8"/>
      <c r="V16" s="8"/>
      <c r="W16" s="8"/>
      <c r="X16" s="8"/>
      <c r="Y16" s="8"/>
      <c r="Z16" s="8"/>
      <c r="AA16" s="8"/>
    </row>
    <row r="17" spans="1:27" x14ac:dyDescent="0.25">
      <c r="A17" s="11"/>
      <c r="B17" s="2">
        <f t="shared" si="2"/>
        <v>-4.1250020265579113E-2</v>
      </c>
      <c r="C17" s="2">
        <f t="shared" si="2"/>
        <v>5.640248954296119E-2</v>
      </c>
      <c r="D17" s="2">
        <f t="shared" si="2"/>
        <v>-7.6642513275146096E-2</v>
      </c>
      <c r="E17" s="2">
        <f t="shared" si="2"/>
        <v>-3.8472503423690102E-2</v>
      </c>
      <c r="F17" s="2">
        <f t="shared" si="2"/>
        <v>6.3249468803409925E-4</v>
      </c>
      <c r="G17" s="6">
        <f t="shared" si="2"/>
        <v>0</v>
      </c>
      <c r="H17" s="2">
        <f t="shared" si="2"/>
        <v>4.5512482523918193E-2</v>
      </c>
      <c r="J17" s="1">
        <v>3</v>
      </c>
      <c r="K17" s="2">
        <v>1.7063071107904199E-2</v>
      </c>
      <c r="L17" s="2">
        <v>-2.1428038645740999E-2</v>
      </c>
      <c r="M17" s="2">
        <v>1.6557338725500598E-2</v>
      </c>
      <c r="N17" s="2">
        <v>1.3347445048513099E-2</v>
      </c>
      <c r="O17" s="2">
        <v>-6.7362838375770702E-3</v>
      </c>
      <c r="P17" s="6">
        <v>0</v>
      </c>
      <c r="Q17" s="2">
        <v>-1.7252094952362001E-2</v>
      </c>
      <c r="S17" s="14">
        <v>4</v>
      </c>
      <c r="T17" s="13">
        <v>1</v>
      </c>
      <c r="U17" s="8"/>
      <c r="V17" s="8"/>
      <c r="W17" s="8"/>
      <c r="X17" s="8"/>
      <c r="Y17" s="8"/>
      <c r="Z17" s="8"/>
      <c r="AA17" s="8"/>
    </row>
    <row r="18" spans="1:27" x14ac:dyDescent="0.25">
      <c r="A18" s="11"/>
      <c r="B18" s="2">
        <f t="shared" si="2"/>
        <v>-5.0105005502700389E-2</v>
      </c>
      <c r="C18" s="2">
        <f t="shared" si="2"/>
        <v>6.8777501583099407E-2</v>
      </c>
      <c r="D18" s="2">
        <f t="shared" si="2"/>
        <v>-7.0620000362395408E-2</v>
      </c>
      <c r="E18" s="2">
        <f t="shared" si="2"/>
        <v>-3.5062491893767395E-2</v>
      </c>
      <c r="F18" s="2">
        <f t="shared" si="2"/>
        <v>6.2150061130524098E-3</v>
      </c>
      <c r="G18" s="6">
        <f t="shared" si="2"/>
        <v>0</v>
      </c>
      <c r="H18" s="2">
        <f t="shared" si="2"/>
        <v>5.0545006990432809E-2</v>
      </c>
      <c r="J18" s="1">
        <v>4</v>
      </c>
      <c r="K18" s="2">
        <v>3.5994920576276797E-2</v>
      </c>
      <c r="L18" s="2">
        <v>-2.8497957015644001E-2</v>
      </c>
      <c r="M18" s="2">
        <v>1.3347445048513099E-2</v>
      </c>
      <c r="N18" s="2">
        <v>2.7076729195180099E-2</v>
      </c>
      <c r="O18" s="2">
        <v>-1.00734993681421E-2</v>
      </c>
      <c r="P18" s="6">
        <v>0</v>
      </c>
      <c r="Q18" s="2">
        <v>-1.9474618919951499E-2</v>
      </c>
      <c r="S18" s="15">
        <v>5</v>
      </c>
      <c r="T18" s="13">
        <v>1</v>
      </c>
      <c r="U18" s="8"/>
      <c r="V18" s="8"/>
      <c r="W18" s="8"/>
      <c r="X18" s="8"/>
      <c r="Y18" s="8"/>
      <c r="Z18" s="8"/>
      <c r="AA18" s="8"/>
    </row>
    <row r="19" spans="1:27" x14ac:dyDescent="0.25">
      <c r="A19" s="11"/>
      <c r="B19" s="2">
        <f t="shared" si="2"/>
        <v>-0.12149499356746699</v>
      </c>
      <c r="C19" s="2">
        <f t="shared" si="2"/>
        <v>0.12333749234676289</v>
      </c>
      <c r="D19" s="2">
        <f t="shared" si="2"/>
        <v>-4.4302523136138999E-2</v>
      </c>
      <c r="E19" s="2">
        <f t="shared" si="2"/>
        <v>-0.12947003543377003</v>
      </c>
      <c r="F19" s="2">
        <f t="shared" si="2"/>
        <v>4.6447485685347789E-2</v>
      </c>
      <c r="G19" s="6">
        <f t="shared" si="2"/>
        <v>0</v>
      </c>
      <c r="H19" s="2">
        <f t="shared" si="2"/>
        <v>8.6267501115798187E-2</v>
      </c>
      <c r="J19" s="1">
        <v>5</v>
      </c>
      <c r="K19" s="2">
        <v>-1.5009075060349E-2</v>
      </c>
      <c r="L19" s="2">
        <v>1.6012797689968199E-2</v>
      </c>
      <c r="M19" s="2">
        <v>-6.7362838375770702E-3</v>
      </c>
      <c r="N19" s="2">
        <v>-1.00734993681421E-2</v>
      </c>
      <c r="O19" s="2">
        <v>8.2088291803235E-3</v>
      </c>
      <c r="P19" s="6">
        <v>0</v>
      </c>
      <c r="Q19" s="2">
        <v>1.2973196809996999E-2</v>
      </c>
      <c r="S19" s="15">
        <v>6</v>
      </c>
      <c r="T19" s="13">
        <v>1</v>
      </c>
      <c r="U19" s="8"/>
      <c r="V19" s="8"/>
      <c r="W19" s="8"/>
      <c r="X19" s="8"/>
      <c r="Y19" s="8"/>
      <c r="Z19" s="8"/>
      <c r="AA19" s="8"/>
    </row>
    <row r="20" spans="1:27" x14ac:dyDescent="0.25">
      <c r="A20" s="11"/>
      <c r="B20" s="2">
        <f t="shared" si="2"/>
        <v>-0.14800499379634796</v>
      </c>
      <c r="C20" s="2">
        <f t="shared" si="2"/>
        <v>8.5909992456436102E-2</v>
      </c>
      <c r="D20" s="2">
        <f t="shared" si="2"/>
        <v>-1.2842506170272008E-2</v>
      </c>
      <c r="E20" s="2">
        <f t="shared" si="2"/>
        <v>-6.3717514276504003E-2</v>
      </c>
      <c r="F20" s="2">
        <f t="shared" si="2"/>
        <v>4.3999999761581393E-2</v>
      </c>
      <c r="G20" s="6">
        <f t="shared" si="2"/>
        <v>0</v>
      </c>
      <c r="H20" s="2">
        <f t="shared" si="2"/>
        <v>5.84374964237213E-2</v>
      </c>
      <c r="J20" s="1">
        <v>6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S20" s="14">
        <v>7</v>
      </c>
      <c r="T20" s="13">
        <v>1</v>
      </c>
      <c r="U20" s="8"/>
      <c r="V20" s="8"/>
      <c r="W20" s="8"/>
      <c r="X20" s="8"/>
      <c r="Y20" s="8"/>
      <c r="Z20" s="8"/>
      <c r="AA20" s="8"/>
    </row>
    <row r="21" spans="1:27" x14ac:dyDescent="0.25">
      <c r="A21" s="11"/>
      <c r="B21" s="2">
        <f t="shared" si="2"/>
        <v>-0.12583997845649642</v>
      </c>
      <c r="C21" s="2">
        <f t="shared" si="2"/>
        <v>4.2982518672943094E-2</v>
      </c>
      <c r="D21" s="2">
        <f t="shared" si="2"/>
        <v>-2.2439986467361409E-2</v>
      </c>
      <c r="E21" s="2">
        <f t="shared" si="2"/>
        <v>-5.8932483196258406E-2</v>
      </c>
      <c r="F21" s="2">
        <f t="shared" si="2"/>
        <v>1.9167512655258193E-2</v>
      </c>
      <c r="G21" s="6">
        <f t="shared" si="2"/>
        <v>0</v>
      </c>
      <c r="H21" s="2">
        <f t="shared" si="2"/>
        <v>1.8617510795593296E-2</v>
      </c>
      <c r="J21" s="1">
        <v>7</v>
      </c>
      <c r="K21" s="2">
        <v>-2.6201534040512599E-2</v>
      </c>
      <c r="L21" s="2">
        <v>3.07255265437071E-2</v>
      </c>
      <c r="M21" s="2">
        <v>-1.7252094952362001E-2</v>
      </c>
      <c r="N21" s="2">
        <v>-1.9474618919951499E-2</v>
      </c>
      <c r="O21" s="2">
        <v>1.2973196809996999E-2</v>
      </c>
      <c r="P21" s="6">
        <v>0</v>
      </c>
      <c r="Q21" s="2">
        <v>2.4858267483739802E-2</v>
      </c>
      <c r="S21" s="15">
        <v>8</v>
      </c>
      <c r="T21" s="13">
        <v>1</v>
      </c>
      <c r="U21" s="8"/>
      <c r="V21" s="8"/>
      <c r="W21" s="8"/>
      <c r="X21" s="8"/>
      <c r="Y21" s="8"/>
      <c r="Z21" s="8"/>
      <c r="AA21" s="8"/>
    </row>
    <row r="22" spans="1:27" x14ac:dyDescent="0.25">
      <c r="S22" s="15">
        <v>9</v>
      </c>
      <c r="T22" s="13">
        <v>1</v>
      </c>
    </row>
    <row r="23" spans="1:27" x14ac:dyDescent="0.25">
      <c r="S23" s="14">
        <v>10</v>
      </c>
      <c r="T23" s="13">
        <v>1</v>
      </c>
    </row>
    <row r="24" spans="1:27" x14ac:dyDescent="0.25">
      <c r="B24" t="s">
        <v>4</v>
      </c>
      <c r="K24" t="s">
        <v>6</v>
      </c>
      <c r="S24" s="15">
        <v>11</v>
      </c>
      <c r="T24" s="13">
        <v>1</v>
      </c>
    </row>
    <row r="25" spans="1:27" x14ac:dyDescent="0.25">
      <c r="A25" s="1"/>
      <c r="B25" s="12" t="s">
        <v>1</v>
      </c>
      <c r="C25" s="12"/>
      <c r="D25" s="12"/>
      <c r="E25" s="12"/>
      <c r="F25" s="12"/>
      <c r="G25" s="12"/>
      <c r="H25" s="12"/>
      <c r="J25" s="1" t="s">
        <v>7</v>
      </c>
      <c r="K25" s="1">
        <v>1</v>
      </c>
      <c r="L25" s="1">
        <v>2</v>
      </c>
      <c r="M25" s="1">
        <v>3</v>
      </c>
      <c r="N25" s="1">
        <v>4</v>
      </c>
      <c r="O25" s="1">
        <v>5</v>
      </c>
      <c r="P25" s="1">
        <v>6</v>
      </c>
      <c r="S25" s="15">
        <v>12</v>
      </c>
      <c r="T25" s="13">
        <v>1</v>
      </c>
    </row>
    <row r="26" spans="1:27" x14ac:dyDescent="0.25">
      <c r="A26" s="1" t="s">
        <v>0</v>
      </c>
      <c r="B26" s="1">
        <v>1</v>
      </c>
      <c r="C26" s="1">
        <v>2</v>
      </c>
      <c r="D26" s="1">
        <v>3</v>
      </c>
      <c r="E26" s="1">
        <v>4</v>
      </c>
      <c r="F26" s="1">
        <v>5</v>
      </c>
      <c r="G26" s="1">
        <v>6</v>
      </c>
      <c r="H26" s="1"/>
      <c r="J26" s="1">
        <v>1</v>
      </c>
      <c r="K26" s="2">
        <v>5.6806073429861603E-2</v>
      </c>
      <c r="L26" s="2">
        <v>-3.9146170295954498E-2</v>
      </c>
      <c r="M26" s="2">
        <v>1.7063071107904199E-2</v>
      </c>
      <c r="N26" s="2">
        <v>3.5994920576276797E-2</v>
      </c>
      <c r="O26" s="2">
        <v>-1.5009075060349E-2</v>
      </c>
      <c r="P26" s="2">
        <v>-2.6201534040512599E-2</v>
      </c>
      <c r="S26" s="14">
        <v>13</v>
      </c>
      <c r="T26" s="13">
        <v>1</v>
      </c>
    </row>
    <row r="27" spans="1:27" x14ac:dyDescent="0.25">
      <c r="A27" s="11" t="s">
        <v>2</v>
      </c>
      <c r="B27" s="2">
        <f>$G16-B16</f>
        <v>8.5524916648865024E-3</v>
      </c>
      <c r="C27" s="2">
        <f t="shared" ref="C27:F27" si="3">$G16-C16</f>
        <v>-6.1627507209777763E-2</v>
      </c>
      <c r="D27" s="2">
        <f t="shared" si="3"/>
        <v>4.5704990625381511E-2</v>
      </c>
      <c r="E27" s="2">
        <f t="shared" si="3"/>
        <v>5.4450035095215121E-3</v>
      </c>
      <c r="F27" s="2">
        <f t="shared" si="3"/>
        <v>-3.6712512373924193E-2</v>
      </c>
      <c r="G27" s="2">
        <f t="shared" ref="G27:G33" si="4">$G16-H16</f>
        <v>-6.9802507758140495E-2</v>
      </c>
      <c r="J27" s="1">
        <v>2</v>
      </c>
      <c r="K27" s="2">
        <v>-3.9146170295954498E-2</v>
      </c>
      <c r="L27" s="2">
        <v>3.9846640473049297E-2</v>
      </c>
      <c r="M27" s="2">
        <v>-2.1428038645740999E-2</v>
      </c>
      <c r="N27" s="2">
        <v>-2.8497957015644001E-2</v>
      </c>
      <c r="O27" s="2">
        <v>1.6012797689968199E-2</v>
      </c>
      <c r="P27" s="2">
        <v>3.07255265437071E-2</v>
      </c>
      <c r="S27" s="15">
        <v>14</v>
      </c>
      <c r="T27" s="13">
        <v>1</v>
      </c>
    </row>
    <row r="28" spans="1:27" x14ac:dyDescent="0.25">
      <c r="A28" s="11"/>
      <c r="B28" s="2">
        <f t="shared" ref="B28:F28" si="5">$G17-B17</f>
        <v>4.1250020265579113E-2</v>
      </c>
      <c r="C28" s="2">
        <f t="shared" si="5"/>
        <v>-5.640248954296119E-2</v>
      </c>
      <c r="D28" s="2">
        <f t="shared" si="5"/>
        <v>7.6642513275146096E-2</v>
      </c>
      <c r="E28" s="2">
        <f t="shared" si="5"/>
        <v>3.8472503423690102E-2</v>
      </c>
      <c r="F28" s="2">
        <f t="shared" si="5"/>
        <v>-6.3249468803409925E-4</v>
      </c>
      <c r="G28" s="2">
        <f t="shared" si="4"/>
        <v>-4.5512482523918193E-2</v>
      </c>
      <c r="J28" s="1">
        <v>3</v>
      </c>
      <c r="K28" s="2">
        <v>1.7063071107904199E-2</v>
      </c>
      <c r="L28" s="2">
        <v>-2.1428038645740999E-2</v>
      </c>
      <c r="M28" s="2">
        <v>1.6557338725500598E-2</v>
      </c>
      <c r="N28" s="2">
        <v>1.3347445048513099E-2</v>
      </c>
      <c r="O28" s="2">
        <v>-6.7362838375770702E-3</v>
      </c>
      <c r="P28" s="2">
        <v>-1.7252094952362001E-2</v>
      </c>
      <c r="S28" s="15">
        <v>15</v>
      </c>
      <c r="T28" s="13">
        <v>1</v>
      </c>
    </row>
    <row r="29" spans="1:27" x14ac:dyDescent="0.25">
      <c r="A29" s="11"/>
      <c r="B29" s="2">
        <f t="shared" ref="B29:F29" si="6">$G18-B18</f>
        <v>5.0105005502700389E-2</v>
      </c>
      <c r="C29" s="2">
        <f t="shared" si="6"/>
        <v>-6.8777501583099407E-2</v>
      </c>
      <c r="D29" s="2">
        <f t="shared" si="6"/>
        <v>7.0620000362395408E-2</v>
      </c>
      <c r="E29" s="2">
        <f t="shared" si="6"/>
        <v>3.5062491893767395E-2</v>
      </c>
      <c r="F29" s="2">
        <f t="shared" si="6"/>
        <v>-6.2150061130524098E-3</v>
      </c>
      <c r="G29" s="2">
        <f t="shared" si="4"/>
        <v>-5.0545006990432809E-2</v>
      </c>
      <c r="J29" s="1">
        <v>4</v>
      </c>
      <c r="K29" s="2">
        <v>3.5994920576276797E-2</v>
      </c>
      <c r="L29" s="2">
        <v>-2.8497957015644001E-2</v>
      </c>
      <c r="M29" s="2">
        <v>1.3347445048513099E-2</v>
      </c>
      <c r="N29" s="2">
        <v>2.7076729195180099E-2</v>
      </c>
      <c r="O29" s="2">
        <v>-1.00734993681421E-2</v>
      </c>
      <c r="P29" s="2">
        <v>-1.9474618919951499E-2</v>
      </c>
      <c r="S29" s="14">
        <v>16</v>
      </c>
      <c r="T29" s="13">
        <v>1</v>
      </c>
    </row>
    <row r="30" spans="1:27" x14ac:dyDescent="0.25">
      <c r="A30" s="11"/>
      <c r="B30" s="2">
        <f t="shared" ref="B30:F30" si="7">$G19-B19</f>
        <v>0.12149499356746699</v>
      </c>
      <c r="C30" s="2">
        <f t="shared" si="7"/>
        <v>-0.12333749234676289</v>
      </c>
      <c r="D30" s="2">
        <f t="shared" si="7"/>
        <v>4.4302523136138999E-2</v>
      </c>
      <c r="E30" s="2">
        <f t="shared" si="7"/>
        <v>0.12947003543377003</v>
      </c>
      <c r="F30" s="2">
        <f t="shared" si="7"/>
        <v>-4.6447485685347789E-2</v>
      </c>
      <c r="G30" s="2">
        <f t="shared" si="4"/>
        <v>-8.6267501115798187E-2</v>
      </c>
      <c r="J30" s="1">
        <v>5</v>
      </c>
      <c r="K30" s="2">
        <v>-1.5009075060349E-2</v>
      </c>
      <c r="L30" s="2">
        <v>1.6012797689968199E-2</v>
      </c>
      <c r="M30" s="2">
        <v>-6.7362838375770702E-3</v>
      </c>
      <c r="N30" s="2">
        <v>-1.00734993681421E-2</v>
      </c>
      <c r="O30" s="2">
        <v>8.2088291803235E-3</v>
      </c>
      <c r="P30" s="2">
        <v>1.2973196809996999E-2</v>
      </c>
      <c r="S30" s="15">
        <v>17</v>
      </c>
      <c r="T30" s="13">
        <v>1</v>
      </c>
    </row>
    <row r="31" spans="1:27" x14ac:dyDescent="0.25">
      <c r="A31" s="11"/>
      <c r="B31" s="2">
        <f t="shared" ref="B31:F31" si="8">$G20-B20</f>
        <v>0.14800499379634796</v>
      </c>
      <c r="C31" s="2">
        <f t="shared" si="8"/>
        <v>-8.5909992456436102E-2</v>
      </c>
      <c r="D31" s="2">
        <f t="shared" si="8"/>
        <v>1.2842506170272008E-2</v>
      </c>
      <c r="E31" s="2">
        <f t="shared" si="8"/>
        <v>6.3717514276504003E-2</v>
      </c>
      <c r="F31" s="2">
        <f t="shared" si="8"/>
        <v>-4.3999999761581393E-2</v>
      </c>
      <c r="G31" s="2">
        <f t="shared" si="4"/>
        <v>-5.84374964237213E-2</v>
      </c>
      <c r="J31" s="1">
        <v>6</v>
      </c>
      <c r="K31" s="2">
        <v>-2.6201534040512599E-2</v>
      </c>
      <c r="L31" s="2">
        <v>3.07255265437071E-2</v>
      </c>
      <c r="M31" s="2">
        <v>-1.7252094952362001E-2</v>
      </c>
      <c r="N31" s="2">
        <v>-1.9474618919951499E-2</v>
      </c>
      <c r="O31" s="2">
        <v>1.2973196809996999E-2</v>
      </c>
      <c r="P31" s="2">
        <v>2.4858267483739802E-2</v>
      </c>
      <c r="S31" s="15">
        <v>18</v>
      </c>
      <c r="T31" s="13">
        <v>1</v>
      </c>
    </row>
    <row r="32" spans="1:27" x14ac:dyDescent="0.25">
      <c r="A32" s="11"/>
      <c r="B32" s="2">
        <f t="shared" ref="B32:F32" si="9">$G21-B21</f>
        <v>0.12583997845649642</v>
      </c>
      <c r="C32" s="2">
        <f t="shared" si="9"/>
        <v>-4.2982518672943094E-2</v>
      </c>
      <c r="D32" s="2">
        <f t="shared" si="9"/>
        <v>2.2439986467361409E-2</v>
      </c>
      <c r="E32" s="2">
        <f t="shared" si="9"/>
        <v>5.8932483196258406E-2</v>
      </c>
      <c r="F32" s="2">
        <f t="shared" si="9"/>
        <v>-1.9167512655258193E-2</v>
      </c>
      <c r="G32" s="2">
        <f t="shared" si="4"/>
        <v>-1.8617510795593296E-2</v>
      </c>
      <c r="S32" s="14">
        <v>19</v>
      </c>
      <c r="T32" s="13">
        <v>1</v>
      </c>
    </row>
    <row r="33" spans="1:20" x14ac:dyDescent="0.25">
      <c r="A33" s="11"/>
      <c r="B33" s="2">
        <f t="shared" ref="B33:F33" si="10">$G22-B22</f>
        <v>0</v>
      </c>
      <c r="C33" s="2">
        <f t="shared" si="10"/>
        <v>0</v>
      </c>
      <c r="D33" s="2">
        <f t="shared" si="10"/>
        <v>0</v>
      </c>
      <c r="E33" s="2">
        <f t="shared" si="10"/>
        <v>0</v>
      </c>
      <c r="F33" s="2">
        <f t="shared" si="10"/>
        <v>0</v>
      </c>
      <c r="G33" s="2">
        <f t="shared" si="4"/>
        <v>0</v>
      </c>
      <c r="S33" s="15">
        <v>20</v>
      </c>
      <c r="T33" s="13">
        <v>1</v>
      </c>
    </row>
    <row r="34" spans="1:20" x14ac:dyDescent="0.25">
      <c r="S34" s="15">
        <v>21</v>
      </c>
      <c r="T34" s="13">
        <v>1</v>
      </c>
    </row>
  </sheetData>
  <mergeCells count="6">
    <mergeCell ref="A27:A33"/>
    <mergeCell ref="B2:H2"/>
    <mergeCell ref="A4:A10"/>
    <mergeCell ref="B13:H13"/>
    <mergeCell ref="A15:A21"/>
    <mergeCell ref="B25:H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endmembers_1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 C</dc:creator>
  <cp:lastModifiedBy>N C</cp:lastModifiedBy>
  <dcterms:created xsi:type="dcterms:W3CDTF">2026-02-19T18:25:34Z</dcterms:created>
  <dcterms:modified xsi:type="dcterms:W3CDTF">2026-02-26T20:19:28Z</dcterms:modified>
</cp:coreProperties>
</file>