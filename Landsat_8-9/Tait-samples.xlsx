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documents\Nick\School\RIT\IMGS 890 Thesis\"/>
    </mc:Choice>
  </mc:AlternateContent>
  <xr:revisionPtr revIDLastSave="0" documentId="8_{71E985DE-8B69-4C95-BB46-32B5E1D63498}" xr6:coauthVersionLast="47" xr6:coauthVersionMax="47" xr10:uidLastSave="{00000000-0000-0000-0000-000000000000}"/>
  <bookViews>
    <workbookView xWindow="25695" yWindow="0" windowWidth="26010" windowHeight="21105" xr2:uid="{14A99EAD-6D21-465A-8EC3-C355529F1620}"/>
  </bookViews>
  <sheets>
    <sheet name="Tait-samp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1" l="1"/>
  <c r="D20" i="1"/>
  <c r="E20" i="1"/>
  <c r="F20" i="1"/>
  <c r="G20" i="1"/>
  <c r="H20" i="1"/>
  <c r="B20" i="1"/>
</calcChain>
</file>

<file path=xl/sharedStrings.xml><?xml version="1.0" encoding="utf-8"?>
<sst xmlns="http://schemas.openxmlformats.org/spreadsheetml/2006/main" count="34" uniqueCount="27">
  <si>
    <t>Coastal</t>
  </si>
  <si>
    <t>Blue</t>
  </si>
  <si>
    <t>Green</t>
  </si>
  <si>
    <t>Red</t>
  </si>
  <si>
    <t>NIR</t>
  </si>
  <si>
    <t>SWIR1</t>
  </si>
  <si>
    <t>SWIR2</t>
  </si>
  <si>
    <t>Longitude</t>
  </si>
  <si>
    <t>Latitude</t>
  </si>
  <si>
    <t>SceneId</t>
  </si>
  <si>
    <t>LC09_L2SP_017030_20250903_20250904_02_T1</t>
  </si>
  <si>
    <t>LC08_L2SP_017030_20250623_20250701_02_T1</t>
  </si>
  <si>
    <t>LC09_L2SP_017030_20250428_20250430_02_T1</t>
  </si>
  <si>
    <t>LC08_L2SP_017030_20250404_20250411_02_T1</t>
  </si>
  <si>
    <t>LC09_L2SP_017030_20250327_20250328_02_T1</t>
  </si>
  <si>
    <t>LC08_L2SP_016030_20241019_20241028_02_T1</t>
  </si>
  <si>
    <t>Date</t>
  </si>
  <si>
    <t>upper</t>
  </si>
  <si>
    <t>lower</t>
  </si>
  <si>
    <t>mid</t>
  </si>
  <si>
    <t>0.44</t>
  </si>
  <si>
    <t>0.48</t>
  </si>
  <si>
    <t>0.56</t>
  </si>
  <si>
    <t>0.65</t>
  </si>
  <si>
    <t>0.86</t>
  </si>
  <si>
    <t>1.61</t>
  </si>
  <si>
    <t>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</si>
</sst>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LANDSAT</a:t>
            </a:r>
            <a:r>
              <a:rPr lang="en-US" baseline="0"/>
              <a:t> Spectral Profile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'Tait-samples'!$B$8</c:f>
              <c:strCache>
                <c:ptCount val="1"/>
                <c:pt idx="0">
                  <c:v>10/19/2024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'Tait-samples'!$C$1:$I$1</c:f>
              <c:strCache>
                <c:ptCount val="7"/>
                <c:pt idx="0">
                  <c:v>Coastal</c:v>
                </c:pt>
                <c:pt idx="1">
                  <c:v>Blue</c:v>
                </c:pt>
                <c:pt idx="2">
                  <c:v>Green</c:v>
                </c:pt>
                <c:pt idx="3">
                  <c:v>Red</c:v>
                </c:pt>
                <c:pt idx="4">
                  <c:v>NIR</c:v>
                </c:pt>
                <c:pt idx="5">
                  <c:v>SWIR1</c:v>
                </c:pt>
                <c:pt idx="6">
                  <c:v>SWIR2</c:v>
                </c:pt>
              </c:strCache>
            </c:strRef>
          </c:cat>
          <c:val>
            <c:numRef>
              <c:f>'Tait-samples'!$C$8:$I$8</c:f>
              <c:numCache>
                <c:formatCode>General</c:formatCode>
                <c:ptCount val="7"/>
                <c:pt idx="0">
                  <c:v>4.9480000000000003E-2</c:v>
                </c:pt>
                <c:pt idx="1">
                  <c:v>6.0920000000000002E-2</c:v>
                </c:pt>
                <c:pt idx="2">
                  <c:v>8.6934999999999998E-2</c:v>
                </c:pt>
                <c:pt idx="3">
                  <c:v>0.10244499999999999</c:v>
                </c:pt>
                <c:pt idx="4">
                  <c:v>0.22781799999999999</c:v>
                </c:pt>
                <c:pt idx="5">
                  <c:v>0.26741700000000002</c:v>
                </c:pt>
                <c:pt idx="6">
                  <c:v>0.190692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8B-48D5-8B15-9B95BA0507C3}"/>
            </c:ext>
          </c:extLst>
        </c:ser>
        <c:ser>
          <c:idx val="4"/>
          <c:order val="1"/>
          <c:tx>
            <c:strRef>
              <c:f>'Tait-samples'!$B$7</c:f>
              <c:strCache>
                <c:ptCount val="1"/>
                <c:pt idx="0">
                  <c:v>3/27/2025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'Tait-samples'!$C$1:$I$1</c:f>
              <c:strCache>
                <c:ptCount val="7"/>
                <c:pt idx="0">
                  <c:v>Coastal</c:v>
                </c:pt>
                <c:pt idx="1">
                  <c:v>Blue</c:v>
                </c:pt>
                <c:pt idx="2">
                  <c:v>Green</c:v>
                </c:pt>
                <c:pt idx="3">
                  <c:v>Red</c:v>
                </c:pt>
                <c:pt idx="4">
                  <c:v>NIR</c:v>
                </c:pt>
                <c:pt idx="5">
                  <c:v>SWIR1</c:v>
                </c:pt>
                <c:pt idx="6">
                  <c:v>SWIR2</c:v>
                </c:pt>
              </c:strCache>
            </c:strRef>
          </c:cat>
          <c:val>
            <c:numRef>
              <c:f>'Tait-samples'!$C$7:$I$7</c:f>
              <c:numCache>
                <c:formatCode>General</c:formatCode>
                <c:ptCount val="7"/>
                <c:pt idx="0">
                  <c:v>5.3440000000000001E-2</c:v>
                </c:pt>
                <c:pt idx="1">
                  <c:v>6.0975000000000001E-2</c:v>
                </c:pt>
                <c:pt idx="2">
                  <c:v>8.2150000000000001E-2</c:v>
                </c:pt>
                <c:pt idx="3">
                  <c:v>9.3755000000000005E-2</c:v>
                </c:pt>
                <c:pt idx="4">
                  <c:v>0.23994499999999999</c:v>
                </c:pt>
                <c:pt idx="5">
                  <c:v>0.23243800000000001</c:v>
                </c:pt>
                <c:pt idx="6">
                  <c:v>0.15535499999999999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A8B-48D5-8B15-9B95BA0507C3}"/>
            </c:ext>
          </c:extLst>
        </c:ser>
        <c:ser>
          <c:idx val="3"/>
          <c:order val="2"/>
          <c:tx>
            <c:strRef>
              <c:f>'Tait-samples'!$B$6</c:f>
              <c:strCache>
                <c:ptCount val="1"/>
                <c:pt idx="0">
                  <c:v>4/4/2025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'Tait-samples'!$C$1:$I$1</c:f>
              <c:strCache>
                <c:ptCount val="7"/>
                <c:pt idx="0">
                  <c:v>Coastal</c:v>
                </c:pt>
                <c:pt idx="1">
                  <c:v>Blue</c:v>
                </c:pt>
                <c:pt idx="2">
                  <c:v>Green</c:v>
                </c:pt>
                <c:pt idx="3">
                  <c:v>Red</c:v>
                </c:pt>
                <c:pt idx="4">
                  <c:v>NIR</c:v>
                </c:pt>
                <c:pt idx="5">
                  <c:v>SWIR1</c:v>
                </c:pt>
                <c:pt idx="6">
                  <c:v>SWIR2</c:v>
                </c:pt>
              </c:strCache>
            </c:strRef>
          </c:cat>
          <c:val>
            <c:numRef>
              <c:f>'Tait-samples'!$C$6:$I$6</c:f>
              <c:numCache>
                <c:formatCode>General</c:formatCode>
                <c:ptCount val="7"/>
                <c:pt idx="0">
                  <c:v>4.2549999999999998E-2</c:v>
                </c:pt>
                <c:pt idx="1">
                  <c:v>4.8737500000000003E-2</c:v>
                </c:pt>
                <c:pt idx="2">
                  <c:v>8.0445000000000003E-2</c:v>
                </c:pt>
                <c:pt idx="3">
                  <c:v>7.8767500000000004E-2</c:v>
                </c:pt>
                <c:pt idx="4">
                  <c:v>0.30124299999999998</c:v>
                </c:pt>
                <c:pt idx="5">
                  <c:v>0.23664499999999999</c:v>
                </c:pt>
                <c:pt idx="6">
                  <c:v>0.151147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8B-48D5-8B15-9B95BA0507C3}"/>
            </c:ext>
          </c:extLst>
        </c:ser>
        <c:ser>
          <c:idx val="2"/>
          <c:order val="3"/>
          <c:tx>
            <c:strRef>
              <c:f>'Tait-samples'!$B$5</c:f>
              <c:strCache>
                <c:ptCount val="1"/>
                <c:pt idx="0">
                  <c:v>4/28/2025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'Tait-samples'!$C$1:$I$1</c:f>
              <c:strCache>
                <c:ptCount val="7"/>
                <c:pt idx="0">
                  <c:v>Coastal</c:v>
                </c:pt>
                <c:pt idx="1">
                  <c:v>Blue</c:v>
                </c:pt>
                <c:pt idx="2">
                  <c:v>Green</c:v>
                </c:pt>
                <c:pt idx="3">
                  <c:v>Red</c:v>
                </c:pt>
                <c:pt idx="4">
                  <c:v>NIR</c:v>
                </c:pt>
                <c:pt idx="5">
                  <c:v>SWIR1</c:v>
                </c:pt>
                <c:pt idx="6">
                  <c:v>SWIR2</c:v>
                </c:pt>
              </c:strCache>
            </c:strRef>
          </c:cat>
          <c:val>
            <c:numRef>
              <c:f>'Tait-samples'!$C$5:$I$5</c:f>
              <c:numCache>
                <c:formatCode>General</c:formatCode>
                <c:ptCount val="7"/>
                <c:pt idx="0">
                  <c:v>5.1900000000000002E-2</c:v>
                </c:pt>
                <c:pt idx="1">
                  <c:v>6.1497499999999997E-2</c:v>
                </c:pt>
                <c:pt idx="2">
                  <c:v>8.1902500000000003E-2</c:v>
                </c:pt>
                <c:pt idx="3">
                  <c:v>8.5889999999999994E-2</c:v>
                </c:pt>
                <c:pt idx="4">
                  <c:v>0.236205</c:v>
                </c:pt>
                <c:pt idx="5">
                  <c:v>0.24626999999999999</c:v>
                </c:pt>
                <c:pt idx="6">
                  <c:v>0.163467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8B-48D5-8B15-9B95BA0507C3}"/>
            </c:ext>
          </c:extLst>
        </c:ser>
        <c:ser>
          <c:idx val="1"/>
          <c:order val="4"/>
          <c:tx>
            <c:strRef>
              <c:f>'Tait-samples'!$B$4</c:f>
              <c:strCache>
                <c:ptCount val="1"/>
                <c:pt idx="0">
                  <c:v>6/23/2025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'Tait-samples'!$C$1:$I$1</c:f>
              <c:strCache>
                <c:ptCount val="7"/>
                <c:pt idx="0">
                  <c:v>Coastal</c:v>
                </c:pt>
                <c:pt idx="1">
                  <c:v>Blue</c:v>
                </c:pt>
                <c:pt idx="2">
                  <c:v>Green</c:v>
                </c:pt>
                <c:pt idx="3">
                  <c:v>Red</c:v>
                </c:pt>
                <c:pt idx="4">
                  <c:v>NIR</c:v>
                </c:pt>
                <c:pt idx="5">
                  <c:v>SWIR1</c:v>
                </c:pt>
                <c:pt idx="6">
                  <c:v>SWIR2</c:v>
                </c:pt>
              </c:strCache>
            </c:strRef>
          </c:cat>
          <c:val>
            <c:numRef>
              <c:f>'Tait-samples'!$C$4:$I$4</c:f>
              <c:numCache>
                <c:formatCode>General</c:formatCode>
                <c:ptCount val="7"/>
                <c:pt idx="0">
                  <c:v>5.1212500000000001E-2</c:v>
                </c:pt>
                <c:pt idx="1">
                  <c:v>5.5530000000000003E-2</c:v>
                </c:pt>
                <c:pt idx="2">
                  <c:v>8.3552500000000002E-2</c:v>
                </c:pt>
                <c:pt idx="3">
                  <c:v>6.9004999999999997E-2</c:v>
                </c:pt>
                <c:pt idx="4">
                  <c:v>0.36077999999999999</c:v>
                </c:pt>
                <c:pt idx="5">
                  <c:v>0.23983499999999999</c:v>
                </c:pt>
                <c:pt idx="6">
                  <c:v>0.12991800000000001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8B-48D5-8B15-9B95BA0507C3}"/>
            </c:ext>
          </c:extLst>
        </c:ser>
        <c:ser>
          <c:idx val="0"/>
          <c:order val="5"/>
          <c:tx>
            <c:strRef>
              <c:f>'Tait-samples'!$B$3</c:f>
              <c:strCache>
                <c:ptCount val="1"/>
                <c:pt idx="0">
                  <c:v>9/3/2025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'Tait-samples'!$C$1:$I$1</c:f>
              <c:strCache>
                <c:ptCount val="7"/>
                <c:pt idx="0">
                  <c:v>Coastal</c:v>
                </c:pt>
                <c:pt idx="1">
                  <c:v>Blue</c:v>
                </c:pt>
                <c:pt idx="2">
                  <c:v>Green</c:v>
                </c:pt>
                <c:pt idx="3">
                  <c:v>Red</c:v>
                </c:pt>
                <c:pt idx="4">
                  <c:v>NIR</c:v>
                </c:pt>
                <c:pt idx="5">
                  <c:v>SWIR1</c:v>
                </c:pt>
                <c:pt idx="6">
                  <c:v>SWIR2</c:v>
                </c:pt>
              </c:strCache>
            </c:strRef>
          </c:cat>
          <c:val>
            <c:numRef>
              <c:f>'Tait-samples'!$C$3:$I$3</c:f>
              <c:numCache>
                <c:formatCode>General</c:formatCode>
                <c:ptCount val="7"/>
                <c:pt idx="0">
                  <c:v>5.1900000000000002E-2</c:v>
                </c:pt>
                <c:pt idx="1">
                  <c:v>6.1497499999999997E-2</c:v>
                </c:pt>
                <c:pt idx="2">
                  <c:v>8.1902500000000003E-2</c:v>
                </c:pt>
                <c:pt idx="3">
                  <c:v>8.5889999999999994E-2</c:v>
                </c:pt>
                <c:pt idx="4">
                  <c:v>0.236205</c:v>
                </c:pt>
                <c:pt idx="5">
                  <c:v>0.24626999999999999</c:v>
                </c:pt>
                <c:pt idx="6">
                  <c:v>0.163467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8B-48D5-8B15-9B95BA050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533503"/>
        <c:axId val="1400545023"/>
      </c:lineChart>
      <c:catAx>
        <c:axId val="1400533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LANDSAT</a:t>
                </a:r>
                <a:r>
                  <a:rPr lang="en-US" baseline="0"/>
                  <a:t> Spectral Band Identifier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45023"/>
        <c:crosses val="autoZero"/>
        <c:auto val="1"/>
        <c:lblAlgn val="ctr"/>
        <c:lblOffset val="100"/>
        <c:noMultiLvlLbl val="0"/>
      </c:catAx>
      <c:valAx>
        <c:axId val="140054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3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695324</xdr:colOff>
      <xdr:row>22</xdr:row>
      <xdr:rowOff>109536</xdr:rowOff>
    </xdr:from>
    <xdr:to>
      <xdr:col>10</xdr:col>
      <xdr:colOff>428625</xdr:colOff>
      <xdr:row>41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A4AEEA-1E85-30A4-CE32-152776695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83C53-7BA2-4890-8A83-942ABEB460D4}" name="Table1" displayName="Table1" ref="A2:K8" totalsRowShown="0" headerRowDxfId="0">
  <autoFilter ref="A2:K8" xr:uid="{FBB83C53-7BA2-4890-8A83-942ABEB460D4}"/>
  <sortState xmlns:xlrd2="http://schemas.microsoft.com/office/spreadsheetml/2017/richdata2" ref="A3:K8">
    <sortCondition descending="1" ref="B2:B8"/>
  </sortState>
  <tableColumns count="11">
    <tableColumn id="1" xr3:uid="{C70DE5DD-7A00-4031-891B-0411C58D7856}" name="SceneId"/>
    <tableColumn id="2" xr3:uid="{D827D9C4-C6AD-4721-BDDE-FCF92188EFEF}" name="Date" dataDxfId="1"/>
    <tableColumn id="3" xr3:uid="{42D48508-A435-4549-A89A-26245A0C7D68}" name="0.44"/>
    <tableColumn id="4" xr3:uid="{B2568BC5-0264-4FDF-9120-3AC4025A07AB}" name="0.48"/>
    <tableColumn id="5" xr3:uid="{2B8D0B43-EFC3-45F6-BD39-27DD94CABE24}" name="0.56"/>
    <tableColumn id="6" xr3:uid="{60D8DA39-E1F9-4360-BE54-22F53CAFB25B}" name="0.65"/>
    <tableColumn id="7" xr3:uid="{DF4E9D21-21A2-4865-BD1B-FB867D1B4FDB}" name="0.86"/>
    <tableColumn id="8" xr3:uid="{ABA565AF-9F08-45AF-B9F5-A516182A1C0E}" name="1.61"/>
    <tableColumn id="9" xr3:uid="{4C156D90-C1A2-4FF9-82B9-A974AD98C9CE}" name="2.20"/>
    <tableColumn id="10" xr3:uid="{BCE87166-FFA2-4499-B972-132C694E027B}" name="Longitude"/>
    <tableColumn id="11" xr3:uid="{C31E9685-6AA6-4E5B-A312-432076DF30DB}" name="Latitu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FC55-0144-44BE-B0DC-D7B5FE22E265}">
  <dimension ref="A1:K20"/>
  <sheetViews>
    <sheetView tabSelected="1" workbookViewId="0">
      <selection activeCell="L31" sqref="L31"/>
    </sheetView>
  </sheetViews>
  <sheetFormatPr defaultRowHeight="15" x14ac:dyDescent="0.25"/>
  <cols>
    <col min="1" max="1" width="42.140625" bestFit="1" customWidth="1"/>
    <col min="2" max="2" width="10.7109375" bestFit="1" customWidth="1"/>
    <col min="3" max="8" width="10.5703125" bestFit="1" customWidth="1"/>
    <col min="10" max="10" width="12" customWidth="1"/>
    <col min="11" max="11" width="10.42578125" customWidth="1"/>
  </cols>
  <sheetData>
    <row r="1" spans="1:11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11" x14ac:dyDescent="0.25">
      <c r="A2" t="s">
        <v>9</v>
      </c>
      <c r="B2" t="s">
        <v>16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t="s">
        <v>7</v>
      </c>
      <c r="K2" t="s">
        <v>8</v>
      </c>
    </row>
    <row r="3" spans="1:11" x14ac:dyDescent="0.25">
      <c r="A3" t="s">
        <v>10</v>
      </c>
      <c r="B3" s="2">
        <v>45903</v>
      </c>
      <c r="C3">
        <v>5.1900000000000002E-2</v>
      </c>
      <c r="D3">
        <v>6.1497499999999997E-2</v>
      </c>
      <c r="E3">
        <v>8.1902500000000003E-2</v>
      </c>
      <c r="F3">
        <v>8.5889999999999994E-2</v>
      </c>
      <c r="G3">
        <v>0.236205</v>
      </c>
      <c r="H3">
        <v>0.24626999999999999</v>
      </c>
      <c r="I3">
        <v>0.163467</v>
      </c>
      <c r="J3">
        <v>-77.505690000000001</v>
      </c>
      <c r="K3">
        <v>43.141370000000002</v>
      </c>
    </row>
    <row r="4" spans="1:11" x14ac:dyDescent="0.25">
      <c r="A4" t="s">
        <v>11</v>
      </c>
      <c r="B4" s="2">
        <v>45831</v>
      </c>
      <c r="C4">
        <v>5.1212500000000001E-2</v>
      </c>
      <c r="D4">
        <v>5.5530000000000003E-2</v>
      </c>
      <c r="E4">
        <v>8.3552500000000002E-2</v>
      </c>
      <c r="F4">
        <v>6.9004999999999997E-2</v>
      </c>
      <c r="G4">
        <v>0.36077999999999999</v>
      </c>
      <c r="H4">
        <v>0.23983499999999999</v>
      </c>
      <c r="I4">
        <v>0.12991800000000001</v>
      </c>
      <c r="J4">
        <v>-77.505719999999997</v>
      </c>
      <c r="K4">
        <v>43.141379999999998</v>
      </c>
    </row>
    <row r="5" spans="1:11" x14ac:dyDescent="0.25">
      <c r="A5" t="s">
        <v>12</v>
      </c>
      <c r="B5" s="2">
        <v>45775</v>
      </c>
      <c r="C5">
        <v>5.1900000000000002E-2</v>
      </c>
      <c r="D5">
        <v>6.1497499999999997E-2</v>
      </c>
      <c r="E5">
        <v>8.1902500000000003E-2</v>
      </c>
      <c r="F5">
        <v>8.5889999999999994E-2</v>
      </c>
      <c r="G5">
        <v>0.236205</v>
      </c>
      <c r="H5">
        <v>0.24626999999999999</v>
      </c>
      <c r="I5">
        <v>0.163467</v>
      </c>
      <c r="J5">
        <v>-77.505709999999993</v>
      </c>
      <c r="K5">
        <v>43.141390000000001</v>
      </c>
    </row>
    <row r="6" spans="1:11" x14ac:dyDescent="0.25">
      <c r="A6" t="s">
        <v>13</v>
      </c>
      <c r="B6" s="2">
        <v>45751</v>
      </c>
      <c r="C6">
        <v>4.2549999999999998E-2</v>
      </c>
      <c r="D6">
        <v>4.8737500000000003E-2</v>
      </c>
      <c r="E6">
        <v>8.0445000000000003E-2</v>
      </c>
      <c r="F6">
        <v>7.8767500000000004E-2</v>
      </c>
      <c r="G6">
        <v>0.30124299999999998</v>
      </c>
      <c r="H6">
        <v>0.23664499999999999</v>
      </c>
      <c r="I6">
        <v>0.151147</v>
      </c>
      <c r="J6">
        <v>-77.505690000000001</v>
      </c>
      <c r="K6">
        <v>43.141379999999998</v>
      </c>
    </row>
    <row r="7" spans="1:11" x14ac:dyDescent="0.25">
      <c r="A7" t="s">
        <v>14</v>
      </c>
      <c r="B7" s="2">
        <v>45743</v>
      </c>
      <c r="C7">
        <v>5.3440000000000001E-2</v>
      </c>
      <c r="D7">
        <v>6.0975000000000001E-2</v>
      </c>
      <c r="E7">
        <v>8.2150000000000001E-2</v>
      </c>
      <c r="F7">
        <v>9.3755000000000005E-2</v>
      </c>
      <c r="G7">
        <v>0.23994499999999999</v>
      </c>
      <c r="H7">
        <v>0.23243800000000001</v>
      </c>
      <c r="I7">
        <v>0.15535499999999999</v>
      </c>
      <c r="J7">
        <v>-77.505700000000004</v>
      </c>
      <c r="K7">
        <v>43.141390000000001</v>
      </c>
    </row>
    <row r="8" spans="1:11" x14ac:dyDescent="0.25">
      <c r="A8" t="s">
        <v>15</v>
      </c>
      <c r="B8" s="2">
        <v>45584</v>
      </c>
      <c r="C8">
        <v>4.9480000000000003E-2</v>
      </c>
      <c r="D8">
        <v>6.0920000000000002E-2</v>
      </c>
      <c r="E8">
        <v>8.6934999999999998E-2</v>
      </c>
      <c r="F8">
        <v>0.10244499999999999</v>
      </c>
      <c r="G8">
        <v>0.22781799999999999</v>
      </c>
      <c r="H8">
        <v>0.26741700000000002</v>
      </c>
      <c r="I8">
        <v>0.190692</v>
      </c>
      <c r="J8">
        <v>-77.505709999999993</v>
      </c>
      <c r="K8">
        <v>43.141399999999997</v>
      </c>
    </row>
    <row r="17" spans="1:8" x14ac:dyDescent="0.25"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</row>
    <row r="18" spans="1:8" x14ac:dyDescent="0.25">
      <c r="A18" t="s">
        <v>18</v>
      </c>
      <c r="B18">
        <v>0.43</v>
      </c>
      <c r="C18">
        <v>0.45</v>
      </c>
      <c r="D18">
        <v>0.53</v>
      </c>
      <c r="E18">
        <v>0.64</v>
      </c>
      <c r="F18">
        <v>0.85</v>
      </c>
      <c r="G18">
        <v>1.57</v>
      </c>
      <c r="H18">
        <v>2.11</v>
      </c>
    </row>
    <row r="19" spans="1:8" x14ac:dyDescent="0.25">
      <c r="A19" t="s">
        <v>17</v>
      </c>
      <c r="B19">
        <v>0.45</v>
      </c>
      <c r="C19">
        <v>0.51</v>
      </c>
      <c r="D19">
        <v>0.59</v>
      </c>
      <c r="E19">
        <v>0.67</v>
      </c>
      <c r="F19">
        <v>0.88</v>
      </c>
      <c r="G19">
        <v>1.65</v>
      </c>
      <c r="H19">
        <v>2.29</v>
      </c>
    </row>
    <row r="20" spans="1:8" x14ac:dyDescent="0.25">
      <c r="A20" t="s">
        <v>19</v>
      </c>
      <c r="B20" s="1">
        <f>GEOMEAN(B18:B19)</f>
        <v>0.43988634895845541</v>
      </c>
      <c r="C20" s="1">
        <f t="shared" ref="C20:H20" si="0">GEOMEAN(C18:C19)</f>
        <v>0.47906158268013938</v>
      </c>
      <c r="D20" s="1">
        <f t="shared" si="0"/>
        <v>0.55919585120063253</v>
      </c>
      <c r="E20" s="1">
        <f t="shared" si="0"/>
        <v>0.65482822174979605</v>
      </c>
      <c r="F20" s="1">
        <f t="shared" si="0"/>
        <v>0.86486993241758614</v>
      </c>
      <c r="G20" s="1">
        <f t="shared" si="0"/>
        <v>1.60950302888811</v>
      </c>
      <c r="H20" s="1">
        <f t="shared" si="0"/>
        <v>2.1981583200488539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Tait-samples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Chiaratti</dc:creator>
  <cp:lastModifiedBy>Nick Chiaratti</cp:lastModifiedBy>
  <dcterms:created xsi:type="dcterms:W3CDTF">2025-09-12T19:35:26Z</dcterms:created>
  <dcterms:modified xsi:type="dcterms:W3CDTF">2025-09-12T19:35:27Z</dcterms:modified>
</cp:coreProperties>
</file>